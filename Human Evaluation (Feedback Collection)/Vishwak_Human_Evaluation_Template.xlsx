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Evaluation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20"/>
    </font>
    <font>
      <b val="1"/>
      <color rgb="00FFFFFF"/>
    </font>
    <font>
      <b val="1"/>
    </font>
    <font>
      <b val="1"/>
      <sz val="2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4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Evaluation Ratings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Dashboard'!$D$4:$D$7</f>
            </numRef>
          </cat>
          <val>
            <numRef>
              <f>'Summary Dashboard'!$E$4:$E$7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Evaluation Factor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umanEvaluationTable" displayName="HumanEvaluationTable" ref="A1:I101" headerRowCount="1">
  <autoFilter ref="A1:I101"/>
  <tableColumns count="9">
    <tableColumn id="1" name="Participant ID"/>
    <tableColumn id="2" name="Prediction Correct / Incorrect"/>
    <tableColumn id="3" name="Prediction Accuracy (1-5)"/>
    <tableColumn id="4" name="Ease of Use (1-5)"/>
    <tableColumn id="5" name="Clarity of Result (1-5)"/>
    <tableColumn id="6" name="Confidence in Result (1-5)"/>
    <tableColumn id="7" name="Average Rating"/>
    <tableColumn id="8" name="Open Comments"/>
    <tableColumn id="9" name="Overall Feedba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20" customWidth="1" min="4" max="4"/>
    <col width="25" customWidth="1" min="5" max="5"/>
    <col width="27" customWidth="1" min="6" max="6"/>
    <col width="18" customWidth="1" min="7" max="7"/>
    <col width="45" customWidth="1" min="8" max="8"/>
    <col width="48" customWidth="1" min="9" max="9"/>
  </cols>
  <sheetData>
    <row r="1" ht="45" customHeight="1">
      <c r="A1" s="1" t="inlineStr">
        <is>
          <t>Participant ID</t>
        </is>
      </c>
      <c r="B1" s="1" t="inlineStr">
        <is>
          <t>Prediction Correct / Incorrect</t>
        </is>
      </c>
      <c r="C1" s="1" t="inlineStr">
        <is>
          <t>Prediction Accuracy (1-5)</t>
        </is>
      </c>
      <c r="D1" s="1" t="inlineStr">
        <is>
          <t>Ease of Use (1-5)</t>
        </is>
      </c>
      <c r="E1" s="1" t="inlineStr">
        <is>
          <t>Clarity of Result (1-5)</t>
        </is>
      </c>
      <c r="F1" s="1" t="inlineStr">
        <is>
          <t>Confidence in Result (1-5)</t>
        </is>
      </c>
      <c r="G1" s="1" t="inlineStr">
        <is>
          <t>Average Rating</t>
        </is>
      </c>
      <c r="H1" s="1" t="inlineStr">
        <is>
          <t>Open Comments</t>
        </is>
      </c>
      <c r="I1" s="1" t="inlineStr">
        <is>
          <t>Overall Feedback</t>
        </is>
      </c>
    </row>
    <row r="2" ht="42" customHeight="1">
      <c r="A2" s="2" t="inlineStr">
        <is>
          <t>P001</t>
        </is>
      </c>
      <c r="B2" s="2" t="n"/>
      <c r="C2" s="2" t="n"/>
      <c r="D2" s="2" t="n"/>
      <c r="E2" s="2" t="n"/>
      <c r="F2" s="2" t="n"/>
      <c r="G2" s="2">
        <f>IF(COUNT(C2:F2)=0,"",ROUND(AVERAGE(C2:F2),2))</f>
        <v/>
      </c>
      <c r="H2" s="2" t="n"/>
      <c r="I2" s="2" t="n"/>
    </row>
    <row r="3" ht="42" customHeight="1">
      <c r="A3" s="2" t="inlineStr">
        <is>
          <t>P002</t>
        </is>
      </c>
      <c r="B3" s="2" t="n"/>
      <c r="C3" s="2" t="n"/>
      <c r="D3" s="2" t="n"/>
      <c r="E3" s="2" t="n"/>
      <c r="F3" s="2" t="n"/>
      <c r="G3" s="2">
        <f>IF(COUNT(C3:F3)=0,"",ROUND(AVERAGE(C3:F3),2))</f>
        <v/>
      </c>
      <c r="H3" s="2" t="n"/>
      <c r="I3" s="2" t="n"/>
    </row>
    <row r="4" ht="42" customHeight="1">
      <c r="A4" s="2" t="inlineStr">
        <is>
          <t>P003</t>
        </is>
      </c>
      <c r="B4" s="2" t="n"/>
      <c r="C4" s="2" t="n"/>
      <c r="D4" s="2" t="n"/>
      <c r="E4" s="2" t="n"/>
      <c r="F4" s="2" t="n"/>
      <c r="G4" s="2">
        <f>IF(COUNT(C4:F4)=0,"",ROUND(AVERAGE(C4:F4),2))</f>
        <v/>
      </c>
      <c r="H4" s="2" t="n"/>
      <c r="I4" s="2" t="n"/>
    </row>
    <row r="5" ht="42" customHeight="1">
      <c r="A5" s="2" t="inlineStr">
        <is>
          <t>P004</t>
        </is>
      </c>
      <c r="B5" s="2" t="n"/>
      <c r="C5" s="2" t="n"/>
      <c r="D5" s="2" t="n"/>
      <c r="E5" s="2" t="n"/>
      <c r="F5" s="2" t="n"/>
      <c r="G5" s="2">
        <f>IF(COUNT(C5:F5)=0,"",ROUND(AVERAGE(C5:F5),2))</f>
        <v/>
      </c>
      <c r="H5" s="2" t="n"/>
      <c r="I5" s="2" t="n"/>
    </row>
    <row r="6" ht="42" customHeight="1">
      <c r="A6" s="2" t="inlineStr">
        <is>
          <t>P005</t>
        </is>
      </c>
      <c r="B6" s="2" t="n"/>
      <c r="C6" s="2" t="n"/>
      <c r="D6" s="2" t="n"/>
      <c r="E6" s="2" t="n"/>
      <c r="F6" s="2" t="n"/>
      <c r="G6" s="2">
        <f>IF(COUNT(C6:F6)=0,"",ROUND(AVERAGE(C6:F6),2))</f>
        <v/>
      </c>
      <c r="H6" s="2" t="n"/>
      <c r="I6" s="2" t="n"/>
    </row>
    <row r="7" ht="42" customHeight="1">
      <c r="A7" s="2" t="inlineStr">
        <is>
          <t>P006</t>
        </is>
      </c>
      <c r="B7" s="2" t="n"/>
      <c r="C7" s="2" t="n"/>
      <c r="D7" s="2" t="n"/>
      <c r="E7" s="2" t="n"/>
      <c r="F7" s="2" t="n"/>
      <c r="G7" s="2">
        <f>IF(COUNT(C7:F7)=0,"",ROUND(AVERAGE(C7:F7),2))</f>
        <v/>
      </c>
      <c r="H7" s="2" t="n"/>
      <c r="I7" s="2" t="n"/>
    </row>
    <row r="8" ht="42" customHeight="1">
      <c r="A8" s="2" t="inlineStr">
        <is>
          <t>P007</t>
        </is>
      </c>
      <c r="B8" s="2" t="n"/>
      <c r="C8" s="2" t="n"/>
      <c r="D8" s="2" t="n"/>
      <c r="E8" s="2" t="n"/>
      <c r="F8" s="2" t="n"/>
      <c r="G8" s="2">
        <f>IF(COUNT(C8:F8)=0,"",ROUND(AVERAGE(C8:F8),2))</f>
        <v/>
      </c>
      <c r="H8" s="2" t="n"/>
      <c r="I8" s="2" t="n"/>
    </row>
    <row r="9" ht="42" customHeight="1">
      <c r="A9" s="2" t="inlineStr">
        <is>
          <t>P008</t>
        </is>
      </c>
      <c r="B9" s="2" t="n"/>
      <c r="C9" s="2" t="n"/>
      <c r="D9" s="2" t="n"/>
      <c r="E9" s="2" t="n"/>
      <c r="F9" s="2" t="n"/>
      <c r="G9" s="2">
        <f>IF(COUNT(C9:F9)=0,"",ROUND(AVERAGE(C9:F9),2))</f>
        <v/>
      </c>
      <c r="H9" s="2" t="n"/>
      <c r="I9" s="2" t="n"/>
    </row>
    <row r="10" ht="42" customHeight="1">
      <c r="A10" s="2" t="inlineStr">
        <is>
          <t>P009</t>
        </is>
      </c>
      <c r="B10" s="2" t="n"/>
      <c r="C10" s="2" t="n"/>
      <c r="D10" s="2" t="n"/>
      <c r="E10" s="2" t="n"/>
      <c r="F10" s="2" t="n"/>
      <c r="G10" s="2">
        <f>IF(COUNT(C10:F10)=0,"",ROUND(AVERAGE(C10:F10),2))</f>
        <v/>
      </c>
      <c r="H10" s="2" t="n"/>
      <c r="I10" s="2" t="n"/>
    </row>
    <row r="11" ht="42" customHeight="1">
      <c r="A11" s="2" t="inlineStr">
        <is>
          <t>P010</t>
        </is>
      </c>
      <c r="B11" s="2" t="n"/>
      <c r="C11" s="2" t="n"/>
      <c r="D11" s="2" t="n"/>
      <c r="E11" s="2" t="n"/>
      <c r="F11" s="2" t="n"/>
      <c r="G11" s="2">
        <f>IF(COUNT(C11:F11)=0,"",ROUND(AVERAGE(C11:F11),2))</f>
        <v/>
      </c>
      <c r="H11" s="2" t="n"/>
      <c r="I11" s="2" t="n"/>
    </row>
    <row r="12" ht="42" customHeight="1">
      <c r="A12" s="2" t="inlineStr">
        <is>
          <t>P011</t>
        </is>
      </c>
      <c r="B12" s="2" t="n"/>
      <c r="C12" s="2" t="n"/>
      <c r="D12" s="2" t="n"/>
      <c r="E12" s="2" t="n"/>
      <c r="F12" s="2" t="n"/>
      <c r="G12" s="2">
        <f>IF(COUNT(C12:F12)=0,"",ROUND(AVERAGE(C12:F12),2))</f>
        <v/>
      </c>
      <c r="H12" s="2" t="n"/>
      <c r="I12" s="2" t="n"/>
    </row>
    <row r="13" ht="42" customHeight="1">
      <c r="A13" s="2" t="inlineStr">
        <is>
          <t>P012</t>
        </is>
      </c>
      <c r="B13" s="2" t="n"/>
      <c r="C13" s="2" t="n"/>
      <c r="D13" s="2" t="n"/>
      <c r="E13" s="2" t="n"/>
      <c r="F13" s="2" t="n"/>
      <c r="G13" s="2">
        <f>IF(COUNT(C13:F13)=0,"",ROUND(AVERAGE(C13:F13),2))</f>
        <v/>
      </c>
      <c r="H13" s="2" t="n"/>
      <c r="I13" s="2" t="n"/>
    </row>
    <row r="14" ht="42" customHeight="1">
      <c r="A14" s="2" t="inlineStr">
        <is>
          <t>P013</t>
        </is>
      </c>
      <c r="B14" s="2" t="n"/>
      <c r="C14" s="2" t="n"/>
      <c r="D14" s="2" t="n"/>
      <c r="E14" s="2" t="n"/>
      <c r="F14" s="2" t="n"/>
      <c r="G14" s="2">
        <f>IF(COUNT(C14:F14)=0,"",ROUND(AVERAGE(C14:F14),2))</f>
        <v/>
      </c>
      <c r="H14" s="2" t="n"/>
      <c r="I14" s="2" t="n"/>
    </row>
    <row r="15" ht="42" customHeight="1">
      <c r="A15" s="2" t="inlineStr">
        <is>
          <t>P014</t>
        </is>
      </c>
      <c r="B15" s="2" t="n"/>
      <c r="C15" s="2" t="n"/>
      <c r="D15" s="2" t="n"/>
      <c r="E15" s="2" t="n"/>
      <c r="F15" s="2" t="n"/>
      <c r="G15" s="2">
        <f>IF(COUNT(C15:F15)=0,"",ROUND(AVERAGE(C15:F15),2))</f>
        <v/>
      </c>
      <c r="H15" s="2" t="n"/>
      <c r="I15" s="2" t="n"/>
    </row>
    <row r="16" ht="42" customHeight="1">
      <c r="A16" s="2" t="inlineStr">
        <is>
          <t>P015</t>
        </is>
      </c>
      <c r="B16" s="2" t="n"/>
      <c r="C16" s="2" t="n"/>
      <c r="D16" s="2" t="n"/>
      <c r="E16" s="2" t="n"/>
      <c r="F16" s="2" t="n"/>
      <c r="G16" s="2">
        <f>IF(COUNT(C16:F16)=0,"",ROUND(AVERAGE(C16:F16),2))</f>
        <v/>
      </c>
      <c r="H16" s="2" t="n"/>
      <c r="I16" s="2" t="n"/>
    </row>
    <row r="17" ht="42" customHeight="1">
      <c r="A17" s="2" t="inlineStr">
        <is>
          <t>P016</t>
        </is>
      </c>
      <c r="B17" s="2" t="n"/>
      <c r="C17" s="2" t="n"/>
      <c r="D17" s="2" t="n"/>
      <c r="E17" s="2" t="n"/>
      <c r="F17" s="2" t="n"/>
      <c r="G17" s="2">
        <f>IF(COUNT(C17:F17)=0,"",ROUND(AVERAGE(C17:F17),2))</f>
        <v/>
      </c>
      <c r="H17" s="2" t="n"/>
      <c r="I17" s="2" t="n"/>
    </row>
    <row r="18" ht="42" customHeight="1">
      <c r="A18" s="2" t="inlineStr">
        <is>
          <t>P017</t>
        </is>
      </c>
      <c r="B18" s="2" t="n"/>
      <c r="C18" s="2" t="n"/>
      <c r="D18" s="2" t="n"/>
      <c r="E18" s="2" t="n"/>
      <c r="F18" s="2" t="n"/>
      <c r="G18" s="2">
        <f>IF(COUNT(C18:F18)=0,"",ROUND(AVERAGE(C18:F18),2))</f>
        <v/>
      </c>
      <c r="H18" s="2" t="n"/>
      <c r="I18" s="2" t="n"/>
    </row>
    <row r="19" ht="42" customHeight="1">
      <c r="A19" s="2" t="inlineStr">
        <is>
          <t>P018</t>
        </is>
      </c>
      <c r="B19" s="2" t="n"/>
      <c r="C19" s="2" t="n"/>
      <c r="D19" s="2" t="n"/>
      <c r="E19" s="2" t="n"/>
      <c r="F19" s="2" t="n"/>
      <c r="G19" s="2">
        <f>IF(COUNT(C19:F19)=0,"",ROUND(AVERAGE(C19:F19),2))</f>
        <v/>
      </c>
      <c r="H19" s="2" t="n"/>
      <c r="I19" s="2" t="n"/>
    </row>
    <row r="20" ht="42" customHeight="1">
      <c r="A20" s="2" t="inlineStr">
        <is>
          <t>P019</t>
        </is>
      </c>
      <c r="B20" s="2" t="n"/>
      <c r="C20" s="2" t="n"/>
      <c r="D20" s="2" t="n"/>
      <c r="E20" s="2" t="n"/>
      <c r="F20" s="2" t="n"/>
      <c r="G20" s="2">
        <f>IF(COUNT(C20:F20)=0,"",ROUND(AVERAGE(C20:F20),2))</f>
        <v/>
      </c>
      <c r="H20" s="2" t="n"/>
      <c r="I20" s="2" t="n"/>
    </row>
    <row r="21" ht="42" customHeight="1">
      <c r="A21" s="2" t="inlineStr">
        <is>
          <t>P020</t>
        </is>
      </c>
      <c r="B21" s="2" t="n"/>
      <c r="C21" s="2" t="n"/>
      <c r="D21" s="2" t="n"/>
      <c r="E21" s="2" t="n"/>
      <c r="F21" s="2" t="n"/>
      <c r="G21" s="2">
        <f>IF(COUNT(C21:F21)=0,"",ROUND(AVERAGE(C21:F21),2))</f>
        <v/>
      </c>
      <c r="H21" s="2" t="n"/>
      <c r="I21" s="2" t="n"/>
    </row>
    <row r="22" ht="42" customHeight="1">
      <c r="A22" s="2" t="inlineStr">
        <is>
          <t>P021</t>
        </is>
      </c>
      <c r="B22" s="2" t="n"/>
      <c r="C22" s="2" t="n"/>
      <c r="D22" s="2" t="n"/>
      <c r="E22" s="2" t="n"/>
      <c r="F22" s="2" t="n"/>
      <c r="G22" s="2">
        <f>IF(COUNT(C22:F22)=0,"",ROUND(AVERAGE(C22:F22),2))</f>
        <v/>
      </c>
      <c r="H22" s="2" t="n"/>
      <c r="I22" s="2" t="n"/>
    </row>
    <row r="23" ht="42" customHeight="1">
      <c r="A23" s="2" t="inlineStr">
        <is>
          <t>P022</t>
        </is>
      </c>
      <c r="B23" s="2" t="n"/>
      <c r="C23" s="2" t="n"/>
      <c r="D23" s="2" t="n"/>
      <c r="E23" s="2" t="n"/>
      <c r="F23" s="2" t="n"/>
      <c r="G23" s="2">
        <f>IF(COUNT(C23:F23)=0,"",ROUND(AVERAGE(C23:F23),2))</f>
        <v/>
      </c>
      <c r="H23" s="2" t="n"/>
      <c r="I23" s="2" t="n"/>
    </row>
    <row r="24" ht="42" customHeight="1">
      <c r="A24" s="2" t="inlineStr">
        <is>
          <t>P023</t>
        </is>
      </c>
      <c r="B24" s="2" t="n"/>
      <c r="C24" s="2" t="n"/>
      <c r="D24" s="2" t="n"/>
      <c r="E24" s="2" t="n"/>
      <c r="F24" s="2" t="n"/>
      <c r="G24" s="2">
        <f>IF(COUNT(C24:F24)=0,"",ROUND(AVERAGE(C24:F24),2))</f>
        <v/>
      </c>
      <c r="H24" s="2" t="n"/>
      <c r="I24" s="2" t="n"/>
    </row>
    <row r="25" ht="42" customHeight="1">
      <c r="A25" s="2" t="inlineStr">
        <is>
          <t>P024</t>
        </is>
      </c>
      <c r="B25" s="2" t="n"/>
      <c r="C25" s="2" t="n"/>
      <c r="D25" s="2" t="n"/>
      <c r="E25" s="2" t="n"/>
      <c r="F25" s="2" t="n"/>
      <c r="G25" s="2">
        <f>IF(COUNT(C25:F25)=0,"",ROUND(AVERAGE(C25:F25),2))</f>
        <v/>
      </c>
      <c r="H25" s="2" t="n"/>
      <c r="I25" s="2" t="n"/>
    </row>
    <row r="26" ht="42" customHeight="1">
      <c r="A26" s="2" t="inlineStr">
        <is>
          <t>P025</t>
        </is>
      </c>
      <c r="B26" s="2" t="n"/>
      <c r="C26" s="2" t="n"/>
      <c r="D26" s="2" t="n"/>
      <c r="E26" s="2" t="n"/>
      <c r="F26" s="2" t="n"/>
      <c r="G26" s="2">
        <f>IF(COUNT(C26:F26)=0,"",ROUND(AVERAGE(C26:F26),2))</f>
        <v/>
      </c>
      <c r="H26" s="2" t="n"/>
      <c r="I26" s="2" t="n"/>
    </row>
    <row r="27" ht="42" customHeight="1">
      <c r="A27" s="2" t="inlineStr">
        <is>
          <t>P026</t>
        </is>
      </c>
      <c r="B27" s="2" t="n"/>
      <c r="C27" s="2" t="n"/>
      <c r="D27" s="2" t="n"/>
      <c r="E27" s="2" t="n"/>
      <c r="F27" s="2" t="n"/>
      <c r="G27" s="2">
        <f>IF(COUNT(C27:F27)=0,"",ROUND(AVERAGE(C27:F27),2))</f>
        <v/>
      </c>
      <c r="H27" s="2" t="n"/>
      <c r="I27" s="2" t="n"/>
    </row>
    <row r="28" ht="42" customHeight="1">
      <c r="A28" s="2" t="inlineStr">
        <is>
          <t>P027</t>
        </is>
      </c>
      <c r="B28" s="2" t="n"/>
      <c r="C28" s="2" t="n"/>
      <c r="D28" s="2" t="n"/>
      <c r="E28" s="2" t="n"/>
      <c r="F28" s="2" t="n"/>
      <c r="G28" s="2">
        <f>IF(COUNT(C28:F28)=0,"",ROUND(AVERAGE(C28:F28),2))</f>
        <v/>
      </c>
      <c r="H28" s="2" t="n"/>
      <c r="I28" s="2" t="n"/>
    </row>
    <row r="29" ht="42" customHeight="1">
      <c r="A29" s="2" t="inlineStr">
        <is>
          <t>P028</t>
        </is>
      </c>
      <c r="B29" s="2" t="n"/>
      <c r="C29" s="2" t="n"/>
      <c r="D29" s="2" t="n"/>
      <c r="E29" s="2" t="n"/>
      <c r="F29" s="2" t="n"/>
      <c r="G29" s="2">
        <f>IF(COUNT(C29:F29)=0,"",ROUND(AVERAGE(C29:F29),2))</f>
        <v/>
      </c>
      <c r="H29" s="2" t="n"/>
      <c r="I29" s="2" t="n"/>
    </row>
    <row r="30" ht="42" customHeight="1">
      <c r="A30" s="2" t="inlineStr">
        <is>
          <t>P029</t>
        </is>
      </c>
      <c r="B30" s="2" t="n"/>
      <c r="C30" s="2" t="n"/>
      <c r="D30" s="2" t="n"/>
      <c r="E30" s="2" t="n"/>
      <c r="F30" s="2" t="n"/>
      <c r="G30" s="2">
        <f>IF(COUNT(C30:F30)=0,"",ROUND(AVERAGE(C30:F30),2))</f>
        <v/>
      </c>
      <c r="H30" s="2" t="n"/>
      <c r="I30" s="2" t="n"/>
    </row>
    <row r="31" ht="42" customHeight="1">
      <c r="A31" s="2" t="inlineStr">
        <is>
          <t>P030</t>
        </is>
      </c>
      <c r="B31" s="2" t="n"/>
      <c r="C31" s="2" t="n"/>
      <c r="D31" s="2" t="n"/>
      <c r="E31" s="2" t="n"/>
      <c r="F31" s="2" t="n"/>
      <c r="G31" s="2">
        <f>IF(COUNT(C31:F31)=0,"",ROUND(AVERAGE(C31:F31),2))</f>
        <v/>
      </c>
      <c r="H31" s="2" t="n"/>
      <c r="I31" s="2" t="n"/>
    </row>
    <row r="32" ht="42" customHeight="1">
      <c r="A32" s="2" t="inlineStr">
        <is>
          <t>P031</t>
        </is>
      </c>
      <c r="B32" s="2" t="n"/>
      <c r="C32" s="2" t="n"/>
      <c r="D32" s="2" t="n"/>
      <c r="E32" s="2" t="n"/>
      <c r="F32" s="2" t="n"/>
      <c r="G32" s="2">
        <f>IF(COUNT(C32:F32)=0,"",ROUND(AVERAGE(C32:F32),2))</f>
        <v/>
      </c>
      <c r="H32" s="2" t="n"/>
      <c r="I32" s="2" t="n"/>
    </row>
    <row r="33" ht="42" customHeight="1">
      <c r="A33" s="2" t="inlineStr">
        <is>
          <t>P032</t>
        </is>
      </c>
      <c r="B33" s="2" t="n"/>
      <c r="C33" s="2" t="n"/>
      <c r="D33" s="2" t="n"/>
      <c r="E33" s="2" t="n"/>
      <c r="F33" s="2" t="n"/>
      <c r="G33" s="2">
        <f>IF(COUNT(C33:F33)=0,"",ROUND(AVERAGE(C33:F33),2))</f>
        <v/>
      </c>
      <c r="H33" s="2" t="n"/>
      <c r="I33" s="2" t="n"/>
    </row>
    <row r="34" ht="42" customHeight="1">
      <c r="A34" s="2" t="inlineStr">
        <is>
          <t>P033</t>
        </is>
      </c>
      <c r="B34" s="2" t="n"/>
      <c r="C34" s="2" t="n"/>
      <c r="D34" s="2" t="n"/>
      <c r="E34" s="2" t="n"/>
      <c r="F34" s="2" t="n"/>
      <c r="G34" s="2">
        <f>IF(COUNT(C34:F34)=0,"",ROUND(AVERAGE(C34:F34),2))</f>
        <v/>
      </c>
      <c r="H34" s="2" t="n"/>
      <c r="I34" s="2" t="n"/>
    </row>
    <row r="35" ht="42" customHeight="1">
      <c r="A35" s="2" t="inlineStr">
        <is>
          <t>P034</t>
        </is>
      </c>
      <c r="B35" s="2" t="n"/>
      <c r="C35" s="2" t="n"/>
      <c r="D35" s="2" t="n"/>
      <c r="E35" s="2" t="n"/>
      <c r="F35" s="2" t="n"/>
      <c r="G35" s="2">
        <f>IF(COUNT(C35:F35)=0,"",ROUND(AVERAGE(C35:F35),2))</f>
        <v/>
      </c>
      <c r="H35" s="2" t="n"/>
      <c r="I35" s="2" t="n"/>
    </row>
    <row r="36" ht="42" customHeight="1">
      <c r="A36" s="2" t="inlineStr">
        <is>
          <t>P035</t>
        </is>
      </c>
      <c r="B36" s="2" t="n"/>
      <c r="C36" s="2" t="n"/>
      <c r="D36" s="2" t="n"/>
      <c r="E36" s="2" t="n"/>
      <c r="F36" s="2" t="n"/>
      <c r="G36" s="2">
        <f>IF(COUNT(C36:F36)=0,"",ROUND(AVERAGE(C36:F36),2))</f>
        <v/>
      </c>
      <c r="H36" s="2" t="n"/>
      <c r="I36" s="2" t="n"/>
    </row>
    <row r="37" ht="42" customHeight="1">
      <c r="A37" s="2" t="inlineStr">
        <is>
          <t>P036</t>
        </is>
      </c>
      <c r="B37" s="2" t="n"/>
      <c r="C37" s="2" t="n"/>
      <c r="D37" s="2" t="n"/>
      <c r="E37" s="2" t="n"/>
      <c r="F37" s="2" t="n"/>
      <c r="G37" s="2">
        <f>IF(COUNT(C37:F37)=0,"",ROUND(AVERAGE(C37:F37),2))</f>
        <v/>
      </c>
      <c r="H37" s="2" t="n"/>
      <c r="I37" s="2" t="n"/>
    </row>
    <row r="38" ht="42" customHeight="1">
      <c r="A38" s="2" t="inlineStr">
        <is>
          <t>P037</t>
        </is>
      </c>
      <c r="B38" s="2" t="n"/>
      <c r="C38" s="2" t="n"/>
      <c r="D38" s="2" t="n"/>
      <c r="E38" s="2" t="n"/>
      <c r="F38" s="2" t="n"/>
      <c r="G38" s="2">
        <f>IF(COUNT(C38:F38)=0,"",ROUND(AVERAGE(C38:F38),2))</f>
        <v/>
      </c>
      <c r="H38" s="2" t="n"/>
      <c r="I38" s="2" t="n"/>
    </row>
    <row r="39" ht="42" customHeight="1">
      <c r="A39" s="2" t="inlineStr">
        <is>
          <t>P038</t>
        </is>
      </c>
      <c r="B39" s="2" t="n"/>
      <c r="C39" s="2" t="n"/>
      <c r="D39" s="2" t="n"/>
      <c r="E39" s="2" t="n"/>
      <c r="F39" s="2" t="n"/>
      <c r="G39" s="2">
        <f>IF(COUNT(C39:F39)=0,"",ROUND(AVERAGE(C39:F39),2))</f>
        <v/>
      </c>
      <c r="H39" s="2" t="n"/>
      <c r="I39" s="2" t="n"/>
    </row>
    <row r="40" ht="42" customHeight="1">
      <c r="A40" s="2" t="inlineStr">
        <is>
          <t>P039</t>
        </is>
      </c>
      <c r="B40" s="2" t="n"/>
      <c r="C40" s="2" t="n"/>
      <c r="D40" s="2" t="n"/>
      <c r="E40" s="2" t="n"/>
      <c r="F40" s="2" t="n"/>
      <c r="G40" s="2">
        <f>IF(COUNT(C40:F40)=0,"",ROUND(AVERAGE(C40:F40),2))</f>
        <v/>
      </c>
      <c r="H40" s="2" t="n"/>
      <c r="I40" s="2" t="n"/>
    </row>
    <row r="41" ht="42" customHeight="1">
      <c r="A41" s="2" t="inlineStr">
        <is>
          <t>P040</t>
        </is>
      </c>
      <c r="B41" s="2" t="n"/>
      <c r="C41" s="2" t="n"/>
      <c r="D41" s="2" t="n"/>
      <c r="E41" s="2" t="n"/>
      <c r="F41" s="2" t="n"/>
      <c r="G41" s="2">
        <f>IF(COUNT(C41:F41)=0,"",ROUND(AVERAGE(C41:F41),2))</f>
        <v/>
      </c>
      <c r="H41" s="2" t="n"/>
      <c r="I41" s="2" t="n"/>
    </row>
    <row r="42" ht="42" customHeight="1">
      <c r="A42" s="2" t="inlineStr">
        <is>
          <t>P041</t>
        </is>
      </c>
      <c r="B42" s="2" t="n"/>
      <c r="C42" s="2" t="n"/>
      <c r="D42" s="2" t="n"/>
      <c r="E42" s="2" t="n"/>
      <c r="F42" s="2" t="n"/>
      <c r="G42" s="2">
        <f>IF(COUNT(C42:F42)=0,"",ROUND(AVERAGE(C42:F42),2))</f>
        <v/>
      </c>
      <c r="H42" s="2" t="n"/>
      <c r="I42" s="2" t="n"/>
    </row>
    <row r="43" ht="42" customHeight="1">
      <c r="A43" s="2" t="inlineStr">
        <is>
          <t>P042</t>
        </is>
      </c>
      <c r="B43" s="2" t="n"/>
      <c r="C43" s="2" t="n"/>
      <c r="D43" s="2" t="n"/>
      <c r="E43" s="2" t="n"/>
      <c r="F43" s="2" t="n"/>
      <c r="G43" s="2">
        <f>IF(COUNT(C43:F43)=0,"",ROUND(AVERAGE(C43:F43),2))</f>
        <v/>
      </c>
      <c r="H43" s="2" t="n"/>
      <c r="I43" s="2" t="n"/>
    </row>
    <row r="44" ht="42" customHeight="1">
      <c r="A44" s="2" t="inlineStr">
        <is>
          <t>P043</t>
        </is>
      </c>
      <c r="B44" s="2" t="n"/>
      <c r="C44" s="2" t="n"/>
      <c r="D44" s="2" t="n"/>
      <c r="E44" s="2" t="n"/>
      <c r="F44" s="2" t="n"/>
      <c r="G44" s="2">
        <f>IF(COUNT(C44:F44)=0,"",ROUND(AVERAGE(C44:F44),2))</f>
        <v/>
      </c>
      <c r="H44" s="2" t="n"/>
      <c r="I44" s="2" t="n"/>
    </row>
    <row r="45" ht="42" customHeight="1">
      <c r="A45" s="2" t="inlineStr">
        <is>
          <t>P044</t>
        </is>
      </c>
      <c r="B45" s="2" t="n"/>
      <c r="C45" s="2" t="n"/>
      <c r="D45" s="2" t="n"/>
      <c r="E45" s="2" t="n"/>
      <c r="F45" s="2" t="n"/>
      <c r="G45" s="2">
        <f>IF(COUNT(C45:F45)=0,"",ROUND(AVERAGE(C45:F45),2))</f>
        <v/>
      </c>
      <c r="H45" s="2" t="n"/>
      <c r="I45" s="2" t="n"/>
    </row>
    <row r="46" ht="42" customHeight="1">
      <c r="A46" s="2" t="inlineStr">
        <is>
          <t>P045</t>
        </is>
      </c>
      <c r="B46" s="2" t="n"/>
      <c r="C46" s="2" t="n"/>
      <c r="D46" s="2" t="n"/>
      <c r="E46" s="2" t="n"/>
      <c r="F46" s="2" t="n"/>
      <c r="G46" s="2">
        <f>IF(COUNT(C46:F46)=0,"",ROUND(AVERAGE(C46:F46),2))</f>
        <v/>
      </c>
      <c r="H46" s="2" t="n"/>
      <c r="I46" s="2" t="n"/>
    </row>
    <row r="47" ht="42" customHeight="1">
      <c r="A47" s="2" t="inlineStr">
        <is>
          <t>P046</t>
        </is>
      </c>
      <c r="B47" s="2" t="n"/>
      <c r="C47" s="2" t="n"/>
      <c r="D47" s="2" t="n"/>
      <c r="E47" s="2" t="n"/>
      <c r="F47" s="2" t="n"/>
      <c r="G47" s="2">
        <f>IF(COUNT(C47:F47)=0,"",ROUND(AVERAGE(C47:F47),2))</f>
        <v/>
      </c>
      <c r="H47" s="2" t="n"/>
      <c r="I47" s="2" t="n"/>
    </row>
    <row r="48" ht="42" customHeight="1">
      <c r="A48" s="2" t="inlineStr">
        <is>
          <t>P047</t>
        </is>
      </c>
      <c r="B48" s="2" t="n"/>
      <c r="C48" s="2" t="n"/>
      <c r="D48" s="2" t="n"/>
      <c r="E48" s="2" t="n"/>
      <c r="F48" s="2" t="n"/>
      <c r="G48" s="2">
        <f>IF(COUNT(C48:F48)=0,"",ROUND(AVERAGE(C48:F48),2))</f>
        <v/>
      </c>
      <c r="H48" s="2" t="n"/>
      <c r="I48" s="2" t="n"/>
    </row>
    <row r="49" ht="42" customHeight="1">
      <c r="A49" s="2" t="inlineStr">
        <is>
          <t>P048</t>
        </is>
      </c>
      <c r="B49" s="2" t="n"/>
      <c r="C49" s="2" t="n"/>
      <c r="D49" s="2" t="n"/>
      <c r="E49" s="2" t="n"/>
      <c r="F49" s="2" t="n"/>
      <c r="G49" s="2">
        <f>IF(COUNT(C49:F49)=0,"",ROUND(AVERAGE(C49:F49),2))</f>
        <v/>
      </c>
      <c r="H49" s="2" t="n"/>
      <c r="I49" s="2" t="n"/>
    </row>
    <row r="50" ht="42" customHeight="1">
      <c r="A50" s="2" t="inlineStr">
        <is>
          <t>P049</t>
        </is>
      </c>
      <c r="B50" s="2" t="n"/>
      <c r="C50" s="2" t="n"/>
      <c r="D50" s="2" t="n"/>
      <c r="E50" s="2" t="n"/>
      <c r="F50" s="2" t="n"/>
      <c r="G50" s="2">
        <f>IF(COUNT(C50:F50)=0,"",ROUND(AVERAGE(C50:F50),2))</f>
        <v/>
      </c>
      <c r="H50" s="2" t="n"/>
      <c r="I50" s="2" t="n"/>
    </row>
    <row r="51" ht="42" customHeight="1">
      <c r="A51" s="2" t="inlineStr">
        <is>
          <t>P050</t>
        </is>
      </c>
      <c r="B51" s="2" t="n"/>
      <c r="C51" s="2" t="n"/>
      <c r="D51" s="2" t="n"/>
      <c r="E51" s="2" t="n"/>
      <c r="F51" s="2" t="n"/>
      <c r="G51" s="2">
        <f>IF(COUNT(C51:F51)=0,"",ROUND(AVERAGE(C51:F51),2))</f>
        <v/>
      </c>
      <c r="H51" s="2" t="n"/>
      <c r="I51" s="2" t="n"/>
    </row>
    <row r="52" ht="42" customHeight="1">
      <c r="A52" s="2" t="inlineStr">
        <is>
          <t>P051</t>
        </is>
      </c>
      <c r="B52" s="2" t="n"/>
      <c r="C52" s="2" t="n"/>
      <c r="D52" s="2" t="n"/>
      <c r="E52" s="2" t="n"/>
      <c r="F52" s="2" t="n"/>
      <c r="G52" s="2">
        <f>IF(COUNT(C52:F52)=0,"",ROUND(AVERAGE(C52:F52),2))</f>
        <v/>
      </c>
      <c r="H52" s="2" t="n"/>
      <c r="I52" s="2" t="n"/>
    </row>
    <row r="53" ht="42" customHeight="1">
      <c r="A53" s="2" t="inlineStr">
        <is>
          <t>P052</t>
        </is>
      </c>
      <c r="B53" s="2" t="n"/>
      <c r="C53" s="2" t="n"/>
      <c r="D53" s="2" t="n"/>
      <c r="E53" s="2" t="n"/>
      <c r="F53" s="2" t="n"/>
      <c r="G53" s="2">
        <f>IF(COUNT(C53:F53)=0,"",ROUND(AVERAGE(C53:F53),2))</f>
        <v/>
      </c>
      <c r="H53" s="2" t="n"/>
      <c r="I53" s="2" t="n"/>
    </row>
    <row r="54" ht="42" customHeight="1">
      <c r="A54" s="2" t="inlineStr">
        <is>
          <t>P053</t>
        </is>
      </c>
      <c r="B54" s="2" t="n"/>
      <c r="C54" s="2" t="n"/>
      <c r="D54" s="2" t="n"/>
      <c r="E54" s="2" t="n"/>
      <c r="F54" s="2" t="n"/>
      <c r="G54" s="2">
        <f>IF(COUNT(C54:F54)=0,"",ROUND(AVERAGE(C54:F54),2))</f>
        <v/>
      </c>
      <c r="H54" s="2" t="n"/>
      <c r="I54" s="2" t="n"/>
    </row>
    <row r="55" ht="42" customHeight="1">
      <c r="A55" s="2" t="inlineStr">
        <is>
          <t>P054</t>
        </is>
      </c>
      <c r="B55" s="2" t="n"/>
      <c r="C55" s="2" t="n"/>
      <c r="D55" s="2" t="n"/>
      <c r="E55" s="2" t="n"/>
      <c r="F55" s="2" t="n"/>
      <c r="G55" s="2">
        <f>IF(COUNT(C55:F55)=0,"",ROUND(AVERAGE(C55:F55),2))</f>
        <v/>
      </c>
      <c r="H55" s="2" t="n"/>
      <c r="I55" s="2" t="n"/>
    </row>
    <row r="56" ht="42" customHeight="1">
      <c r="A56" s="2" t="inlineStr">
        <is>
          <t>P055</t>
        </is>
      </c>
      <c r="B56" s="2" t="n"/>
      <c r="C56" s="2" t="n"/>
      <c r="D56" s="2" t="n"/>
      <c r="E56" s="2" t="n"/>
      <c r="F56" s="2" t="n"/>
      <c r="G56" s="2">
        <f>IF(COUNT(C56:F56)=0,"",ROUND(AVERAGE(C56:F56),2))</f>
        <v/>
      </c>
      <c r="H56" s="2" t="n"/>
      <c r="I56" s="2" t="n"/>
    </row>
    <row r="57" ht="42" customHeight="1">
      <c r="A57" s="2" t="inlineStr">
        <is>
          <t>P056</t>
        </is>
      </c>
      <c r="B57" s="2" t="n"/>
      <c r="C57" s="2" t="n"/>
      <c r="D57" s="2" t="n"/>
      <c r="E57" s="2" t="n"/>
      <c r="F57" s="2" t="n"/>
      <c r="G57" s="2">
        <f>IF(COUNT(C57:F57)=0,"",ROUND(AVERAGE(C57:F57),2))</f>
        <v/>
      </c>
      <c r="H57" s="2" t="n"/>
      <c r="I57" s="2" t="n"/>
    </row>
    <row r="58" ht="42" customHeight="1">
      <c r="A58" s="2" t="inlineStr">
        <is>
          <t>P057</t>
        </is>
      </c>
      <c r="B58" s="2" t="n"/>
      <c r="C58" s="2" t="n"/>
      <c r="D58" s="2" t="n"/>
      <c r="E58" s="2" t="n"/>
      <c r="F58" s="2" t="n"/>
      <c r="G58" s="2">
        <f>IF(COUNT(C58:F58)=0,"",ROUND(AVERAGE(C58:F58),2))</f>
        <v/>
      </c>
      <c r="H58" s="2" t="n"/>
      <c r="I58" s="2" t="n"/>
    </row>
    <row r="59" ht="42" customHeight="1">
      <c r="A59" s="2" t="inlineStr">
        <is>
          <t>P058</t>
        </is>
      </c>
      <c r="B59" s="2" t="n"/>
      <c r="C59" s="2" t="n"/>
      <c r="D59" s="2" t="n"/>
      <c r="E59" s="2" t="n"/>
      <c r="F59" s="2" t="n"/>
      <c r="G59" s="2">
        <f>IF(COUNT(C59:F59)=0,"",ROUND(AVERAGE(C59:F59),2))</f>
        <v/>
      </c>
      <c r="H59" s="2" t="n"/>
      <c r="I59" s="2" t="n"/>
    </row>
    <row r="60" ht="42" customHeight="1">
      <c r="A60" s="2" t="inlineStr">
        <is>
          <t>P059</t>
        </is>
      </c>
      <c r="B60" s="2" t="n"/>
      <c r="C60" s="2" t="n"/>
      <c r="D60" s="2" t="n"/>
      <c r="E60" s="2" t="n"/>
      <c r="F60" s="2" t="n"/>
      <c r="G60" s="2">
        <f>IF(COUNT(C60:F60)=0,"",ROUND(AVERAGE(C60:F60),2))</f>
        <v/>
      </c>
      <c r="H60" s="2" t="n"/>
      <c r="I60" s="2" t="n"/>
    </row>
    <row r="61" ht="42" customHeight="1">
      <c r="A61" s="2" t="inlineStr">
        <is>
          <t>P060</t>
        </is>
      </c>
      <c r="B61" s="2" t="n"/>
      <c r="C61" s="2" t="n"/>
      <c r="D61" s="2" t="n"/>
      <c r="E61" s="2" t="n"/>
      <c r="F61" s="2" t="n"/>
      <c r="G61" s="2">
        <f>IF(COUNT(C61:F61)=0,"",ROUND(AVERAGE(C61:F61),2))</f>
        <v/>
      </c>
      <c r="H61" s="2" t="n"/>
      <c r="I61" s="2" t="n"/>
    </row>
    <row r="62" ht="42" customHeight="1">
      <c r="A62" s="2" t="inlineStr">
        <is>
          <t>P061</t>
        </is>
      </c>
      <c r="B62" s="2" t="n"/>
      <c r="C62" s="2" t="n"/>
      <c r="D62" s="2" t="n"/>
      <c r="E62" s="2" t="n"/>
      <c r="F62" s="2" t="n"/>
      <c r="G62" s="2">
        <f>IF(COUNT(C62:F62)=0,"",ROUND(AVERAGE(C62:F62),2))</f>
        <v/>
      </c>
      <c r="H62" s="2" t="n"/>
      <c r="I62" s="2" t="n"/>
    </row>
    <row r="63" ht="42" customHeight="1">
      <c r="A63" s="2" t="inlineStr">
        <is>
          <t>P062</t>
        </is>
      </c>
      <c r="B63" s="2" t="n"/>
      <c r="C63" s="2" t="n"/>
      <c r="D63" s="2" t="n"/>
      <c r="E63" s="2" t="n"/>
      <c r="F63" s="2" t="n"/>
      <c r="G63" s="2">
        <f>IF(COUNT(C63:F63)=0,"",ROUND(AVERAGE(C63:F63),2))</f>
        <v/>
      </c>
      <c r="H63" s="2" t="n"/>
      <c r="I63" s="2" t="n"/>
    </row>
    <row r="64" ht="42" customHeight="1">
      <c r="A64" s="2" t="inlineStr">
        <is>
          <t>P063</t>
        </is>
      </c>
      <c r="B64" s="2" t="n"/>
      <c r="C64" s="2" t="n"/>
      <c r="D64" s="2" t="n"/>
      <c r="E64" s="2" t="n"/>
      <c r="F64" s="2" t="n"/>
      <c r="G64" s="2">
        <f>IF(COUNT(C64:F64)=0,"",ROUND(AVERAGE(C64:F64),2))</f>
        <v/>
      </c>
      <c r="H64" s="2" t="n"/>
      <c r="I64" s="2" t="n"/>
    </row>
    <row r="65" ht="42" customHeight="1">
      <c r="A65" s="2" t="inlineStr">
        <is>
          <t>P064</t>
        </is>
      </c>
      <c r="B65" s="2" t="n"/>
      <c r="C65" s="2" t="n"/>
      <c r="D65" s="2" t="n"/>
      <c r="E65" s="2" t="n"/>
      <c r="F65" s="2" t="n"/>
      <c r="G65" s="2">
        <f>IF(COUNT(C65:F65)=0,"",ROUND(AVERAGE(C65:F65),2))</f>
        <v/>
      </c>
      <c r="H65" s="2" t="n"/>
      <c r="I65" s="2" t="n"/>
    </row>
    <row r="66" ht="42" customHeight="1">
      <c r="A66" s="2" t="inlineStr">
        <is>
          <t>P065</t>
        </is>
      </c>
      <c r="B66" s="2" t="n"/>
      <c r="C66" s="2" t="n"/>
      <c r="D66" s="2" t="n"/>
      <c r="E66" s="2" t="n"/>
      <c r="F66" s="2" t="n"/>
      <c r="G66" s="2">
        <f>IF(COUNT(C66:F66)=0,"",ROUND(AVERAGE(C66:F66),2))</f>
        <v/>
      </c>
      <c r="H66" s="2" t="n"/>
      <c r="I66" s="2" t="n"/>
    </row>
    <row r="67" ht="42" customHeight="1">
      <c r="A67" s="2" t="inlineStr">
        <is>
          <t>P066</t>
        </is>
      </c>
      <c r="B67" s="2" t="n"/>
      <c r="C67" s="2" t="n"/>
      <c r="D67" s="2" t="n"/>
      <c r="E67" s="2" t="n"/>
      <c r="F67" s="2" t="n"/>
      <c r="G67" s="2">
        <f>IF(COUNT(C67:F67)=0,"",ROUND(AVERAGE(C67:F67),2))</f>
        <v/>
      </c>
      <c r="H67" s="2" t="n"/>
      <c r="I67" s="2" t="n"/>
    </row>
    <row r="68" ht="42" customHeight="1">
      <c r="A68" s="2" t="inlineStr">
        <is>
          <t>P067</t>
        </is>
      </c>
      <c r="B68" s="2" t="n"/>
      <c r="C68" s="2" t="n"/>
      <c r="D68" s="2" t="n"/>
      <c r="E68" s="2" t="n"/>
      <c r="F68" s="2" t="n"/>
      <c r="G68" s="2">
        <f>IF(COUNT(C68:F68)=0,"",ROUND(AVERAGE(C68:F68),2))</f>
        <v/>
      </c>
      <c r="H68" s="2" t="n"/>
      <c r="I68" s="2" t="n"/>
    </row>
    <row r="69" ht="42" customHeight="1">
      <c r="A69" s="2" t="inlineStr">
        <is>
          <t>P068</t>
        </is>
      </c>
      <c r="B69" s="2" t="n"/>
      <c r="C69" s="2" t="n"/>
      <c r="D69" s="2" t="n"/>
      <c r="E69" s="2" t="n"/>
      <c r="F69" s="2" t="n"/>
      <c r="G69" s="2">
        <f>IF(COUNT(C69:F69)=0,"",ROUND(AVERAGE(C69:F69),2))</f>
        <v/>
      </c>
      <c r="H69" s="2" t="n"/>
      <c r="I69" s="2" t="n"/>
    </row>
    <row r="70" ht="42" customHeight="1">
      <c r="A70" s="2" t="inlineStr">
        <is>
          <t>P069</t>
        </is>
      </c>
      <c r="B70" s="2" t="n"/>
      <c r="C70" s="2" t="n"/>
      <c r="D70" s="2" t="n"/>
      <c r="E70" s="2" t="n"/>
      <c r="F70" s="2" t="n"/>
      <c r="G70" s="2">
        <f>IF(COUNT(C70:F70)=0,"",ROUND(AVERAGE(C70:F70),2))</f>
        <v/>
      </c>
      <c r="H70" s="2" t="n"/>
      <c r="I70" s="2" t="n"/>
    </row>
    <row r="71" ht="42" customHeight="1">
      <c r="A71" s="2" t="inlineStr">
        <is>
          <t>P070</t>
        </is>
      </c>
      <c r="B71" s="2" t="n"/>
      <c r="C71" s="2" t="n"/>
      <c r="D71" s="2" t="n"/>
      <c r="E71" s="2" t="n"/>
      <c r="F71" s="2" t="n"/>
      <c r="G71" s="2">
        <f>IF(COUNT(C71:F71)=0,"",ROUND(AVERAGE(C71:F71),2))</f>
        <v/>
      </c>
      <c r="H71" s="2" t="n"/>
      <c r="I71" s="2" t="n"/>
    </row>
    <row r="72" ht="42" customHeight="1">
      <c r="A72" s="2" t="inlineStr">
        <is>
          <t>P071</t>
        </is>
      </c>
      <c r="B72" s="2" t="n"/>
      <c r="C72" s="2" t="n"/>
      <c r="D72" s="2" t="n"/>
      <c r="E72" s="2" t="n"/>
      <c r="F72" s="2" t="n"/>
      <c r="G72" s="2">
        <f>IF(COUNT(C72:F72)=0,"",ROUND(AVERAGE(C72:F72),2))</f>
        <v/>
      </c>
      <c r="H72" s="2" t="n"/>
      <c r="I72" s="2" t="n"/>
    </row>
    <row r="73" ht="42" customHeight="1">
      <c r="A73" s="2" t="inlineStr">
        <is>
          <t>P072</t>
        </is>
      </c>
      <c r="B73" s="2" t="n"/>
      <c r="C73" s="2" t="n"/>
      <c r="D73" s="2" t="n"/>
      <c r="E73" s="2" t="n"/>
      <c r="F73" s="2" t="n"/>
      <c r="G73" s="2">
        <f>IF(COUNT(C73:F73)=0,"",ROUND(AVERAGE(C73:F73),2))</f>
        <v/>
      </c>
      <c r="H73" s="2" t="n"/>
      <c r="I73" s="2" t="n"/>
    </row>
    <row r="74" ht="42" customHeight="1">
      <c r="A74" s="2" t="inlineStr">
        <is>
          <t>P073</t>
        </is>
      </c>
      <c r="B74" s="2" t="n"/>
      <c r="C74" s="2" t="n"/>
      <c r="D74" s="2" t="n"/>
      <c r="E74" s="2" t="n"/>
      <c r="F74" s="2" t="n"/>
      <c r="G74" s="2">
        <f>IF(COUNT(C74:F74)=0,"",ROUND(AVERAGE(C74:F74),2))</f>
        <v/>
      </c>
      <c r="H74" s="2" t="n"/>
      <c r="I74" s="2" t="n"/>
    </row>
    <row r="75" ht="42" customHeight="1">
      <c r="A75" s="2" t="inlineStr">
        <is>
          <t>P074</t>
        </is>
      </c>
      <c r="B75" s="2" t="n"/>
      <c r="C75" s="2" t="n"/>
      <c r="D75" s="2" t="n"/>
      <c r="E75" s="2" t="n"/>
      <c r="F75" s="2" t="n"/>
      <c r="G75" s="2">
        <f>IF(COUNT(C75:F75)=0,"",ROUND(AVERAGE(C75:F75),2))</f>
        <v/>
      </c>
      <c r="H75" s="2" t="n"/>
      <c r="I75" s="2" t="n"/>
    </row>
    <row r="76" ht="42" customHeight="1">
      <c r="A76" s="2" t="inlineStr">
        <is>
          <t>P075</t>
        </is>
      </c>
      <c r="B76" s="2" t="n"/>
      <c r="C76" s="2" t="n"/>
      <c r="D76" s="2" t="n"/>
      <c r="E76" s="2" t="n"/>
      <c r="F76" s="2" t="n"/>
      <c r="G76" s="2">
        <f>IF(COUNT(C76:F76)=0,"",ROUND(AVERAGE(C76:F76),2))</f>
        <v/>
      </c>
      <c r="H76" s="2" t="n"/>
      <c r="I76" s="2" t="n"/>
    </row>
    <row r="77" ht="42" customHeight="1">
      <c r="A77" s="2" t="inlineStr">
        <is>
          <t>P076</t>
        </is>
      </c>
      <c r="B77" s="2" t="n"/>
      <c r="C77" s="2" t="n"/>
      <c r="D77" s="2" t="n"/>
      <c r="E77" s="2" t="n"/>
      <c r="F77" s="2" t="n"/>
      <c r="G77" s="2">
        <f>IF(COUNT(C77:F77)=0,"",ROUND(AVERAGE(C77:F77),2))</f>
        <v/>
      </c>
      <c r="H77" s="2" t="n"/>
      <c r="I77" s="2" t="n"/>
    </row>
    <row r="78" ht="42" customHeight="1">
      <c r="A78" s="2" t="inlineStr">
        <is>
          <t>P077</t>
        </is>
      </c>
      <c r="B78" s="2" t="n"/>
      <c r="C78" s="2" t="n"/>
      <c r="D78" s="2" t="n"/>
      <c r="E78" s="2" t="n"/>
      <c r="F78" s="2" t="n"/>
      <c r="G78" s="2">
        <f>IF(COUNT(C78:F78)=0,"",ROUND(AVERAGE(C78:F78),2))</f>
        <v/>
      </c>
      <c r="H78" s="2" t="n"/>
      <c r="I78" s="2" t="n"/>
    </row>
    <row r="79" ht="42" customHeight="1">
      <c r="A79" s="2" t="inlineStr">
        <is>
          <t>P078</t>
        </is>
      </c>
      <c r="B79" s="2" t="n"/>
      <c r="C79" s="2" t="n"/>
      <c r="D79" s="2" t="n"/>
      <c r="E79" s="2" t="n"/>
      <c r="F79" s="2" t="n"/>
      <c r="G79" s="2">
        <f>IF(COUNT(C79:F79)=0,"",ROUND(AVERAGE(C79:F79),2))</f>
        <v/>
      </c>
      <c r="H79" s="2" t="n"/>
      <c r="I79" s="2" t="n"/>
    </row>
    <row r="80" ht="42" customHeight="1">
      <c r="A80" s="2" t="inlineStr">
        <is>
          <t>P079</t>
        </is>
      </c>
      <c r="B80" s="2" t="n"/>
      <c r="C80" s="2" t="n"/>
      <c r="D80" s="2" t="n"/>
      <c r="E80" s="2" t="n"/>
      <c r="F80" s="2" t="n"/>
      <c r="G80" s="2">
        <f>IF(COUNT(C80:F80)=0,"",ROUND(AVERAGE(C80:F80),2))</f>
        <v/>
      </c>
      <c r="H80" s="2" t="n"/>
      <c r="I80" s="2" t="n"/>
    </row>
    <row r="81" ht="42" customHeight="1">
      <c r="A81" s="2" t="inlineStr">
        <is>
          <t>P080</t>
        </is>
      </c>
      <c r="B81" s="2" t="n"/>
      <c r="C81" s="2" t="n"/>
      <c r="D81" s="2" t="n"/>
      <c r="E81" s="2" t="n"/>
      <c r="F81" s="2" t="n"/>
      <c r="G81" s="2">
        <f>IF(COUNT(C81:F81)=0,"",ROUND(AVERAGE(C81:F81),2))</f>
        <v/>
      </c>
      <c r="H81" s="2" t="n"/>
      <c r="I81" s="2" t="n"/>
    </row>
    <row r="82" ht="42" customHeight="1">
      <c r="A82" s="2" t="inlineStr">
        <is>
          <t>P081</t>
        </is>
      </c>
      <c r="B82" s="2" t="n"/>
      <c r="C82" s="2" t="n"/>
      <c r="D82" s="2" t="n"/>
      <c r="E82" s="2" t="n"/>
      <c r="F82" s="2" t="n"/>
      <c r="G82" s="2">
        <f>IF(COUNT(C82:F82)=0,"",ROUND(AVERAGE(C82:F82),2))</f>
        <v/>
      </c>
      <c r="H82" s="2" t="n"/>
      <c r="I82" s="2" t="n"/>
    </row>
    <row r="83" ht="42" customHeight="1">
      <c r="A83" s="2" t="inlineStr">
        <is>
          <t>P082</t>
        </is>
      </c>
      <c r="B83" s="2" t="n"/>
      <c r="C83" s="2" t="n"/>
      <c r="D83" s="2" t="n"/>
      <c r="E83" s="2" t="n"/>
      <c r="F83" s="2" t="n"/>
      <c r="G83" s="2">
        <f>IF(COUNT(C83:F83)=0,"",ROUND(AVERAGE(C83:F83),2))</f>
        <v/>
      </c>
      <c r="H83" s="2" t="n"/>
      <c r="I83" s="2" t="n"/>
    </row>
    <row r="84" ht="42" customHeight="1">
      <c r="A84" s="2" t="inlineStr">
        <is>
          <t>P083</t>
        </is>
      </c>
      <c r="B84" s="2" t="n"/>
      <c r="C84" s="2" t="n"/>
      <c r="D84" s="2" t="n"/>
      <c r="E84" s="2" t="n"/>
      <c r="F84" s="2" t="n"/>
      <c r="G84" s="2">
        <f>IF(COUNT(C84:F84)=0,"",ROUND(AVERAGE(C84:F84),2))</f>
        <v/>
      </c>
      <c r="H84" s="2" t="n"/>
      <c r="I84" s="2" t="n"/>
    </row>
    <row r="85" ht="42" customHeight="1">
      <c r="A85" s="2" t="inlineStr">
        <is>
          <t>P084</t>
        </is>
      </c>
      <c r="B85" s="2" t="n"/>
      <c r="C85" s="2" t="n"/>
      <c r="D85" s="2" t="n"/>
      <c r="E85" s="2" t="n"/>
      <c r="F85" s="2" t="n"/>
      <c r="G85" s="2">
        <f>IF(COUNT(C85:F85)=0,"",ROUND(AVERAGE(C85:F85),2))</f>
        <v/>
      </c>
      <c r="H85" s="2" t="n"/>
      <c r="I85" s="2" t="n"/>
    </row>
    <row r="86" ht="42" customHeight="1">
      <c r="A86" s="2" t="inlineStr">
        <is>
          <t>P085</t>
        </is>
      </c>
      <c r="B86" s="2" t="n"/>
      <c r="C86" s="2" t="n"/>
      <c r="D86" s="2" t="n"/>
      <c r="E86" s="2" t="n"/>
      <c r="F86" s="2" t="n"/>
      <c r="G86" s="2">
        <f>IF(COUNT(C86:F86)=0,"",ROUND(AVERAGE(C86:F86),2))</f>
        <v/>
      </c>
      <c r="H86" s="2" t="n"/>
      <c r="I86" s="2" t="n"/>
    </row>
    <row r="87" ht="42" customHeight="1">
      <c r="A87" s="2" t="inlineStr">
        <is>
          <t>P086</t>
        </is>
      </c>
      <c r="B87" s="2" t="n"/>
      <c r="C87" s="2" t="n"/>
      <c r="D87" s="2" t="n"/>
      <c r="E87" s="2" t="n"/>
      <c r="F87" s="2" t="n"/>
      <c r="G87" s="2">
        <f>IF(COUNT(C87:F87)=0,"",ROUND(AVERAGE(C87:F87),2))</f>
        <v/>
      </c>
      <c r="H87" s="2" t="n"/>
      <c r="I87" s="2" t="n"/>
    </row>
    <row r="88" ht="42" customHeight="1">
      <c r="A88" s="2" t="inlineStr">
        <is>
          <t>P087</t>
        </is>
      </c>
      <c r="B88" s="2" t="n"/>
      <c r="C88" s="2" t="n"/>
      <c r="D88" s="2" t="n"/>
      <c r="E88" s="2" t="n"/>
      <c r="F88" s="2" t="n"/>
      <c r="G88" s="2">
        <f>IF(COUNT(C88:F88)=0,"",ROUND(AVERAGE(C88:F88),2))</f>
        <v/>
      </c>
      <c r="H88" s="2" t="n"/>
      <c r="I88" s="2" t="n"/>
    </row>
    <row r="89" ht="42" customHeight="1">
      <c r="A89" s="2" t="inlineStr">
        <is>
          <t>P088</t>
        </is>
      </c>
      <c r="B89" s="2" t="n"/>
      <c r="C89" s="2" t="n"/>
      <c r="D89" s="2" t="n"/>
      <c r="E89" s="2" t="n"/>
      <c r="F89" s="2" t="n"/>
      <c r="G89" s="2">
        <f>IF(COUNT(C89:F89)=0,"",ROUND(AVERAGE(C89:F89),2))</f>
        <v/>
      </c>
      <c r="H89" s="2" t="n"/>
      <c r="I89" s="2" t="n"/>
    </row>
    <row r="90" ht="42" customHeight="1">
      <c r="A90" s="2" t="inlineStr">
        <is>
          <t>P089</t>
        </is>
      </c>
      <c r="B90" s="2" t="n"/>
      <c r="C90" s="2" t="n"/>
      <c r="D90" s="2" t="n"/>
      <c r="E90" s="2" t="n"/>
      <c r="F90" s="2" t="n"/>
      <c r="G90" s="2">
        <f>IF(COUNT(C90:F90)=0,"",ROUND(AVERAGE(C90:F90),2))</f>
        <v/>
      </c>
      <c r="H90" s="2" t="n"/>
      <c r="I90" s="2" t="n"/>
    </row>
    <row r="91" ht="42" customHeight="1">
      <c r="A91" s="2" t="inlineStr">
        <is>
          <t>P090</t>
        </is>
      </c>
      <c r="B91" s="2" t="n"/>
      <c r="C91" s="2" t="n"/>
      <c r="D91" s="2" t="n"/>
      <c r="E91" s="2" t="n"/>
      <c r="F91" s="2" t="n"/>
      <c r="G91" s="2">
        <f>IF(COUNT(C91:F91)=0,"",ROUND(AVERAGE(C91:F91),2))</f>
        <v/>
      </c>
      <c r="H91" s="2" t="n"/>
      <c r="I91" s="2" t="n"/>
    </row>
    <row r="92" ht="42" customHeight="1">
      <c r="A92" s="2" t="inlineStr">
        <is>
          <t>P091</t>
        </is>
      </c>
      <c r="B92" s="2" t="n"/>
      <c r="C92" s="2" t="n"/>
      <c r="D92" s="2" t="n"/>
      <c r="E92" s="2" t="n"/>
      <c r="F92" s="2" t="n"/>
      <c r="G92" s="2">
        <f>IF(COUNT(C92:F92)=0,"",ROUND(AVERAGE(C92:F92),2))</f>
        <v/>
      </c>
      <c r="H92" s="2" t="n"/>
      <c r="I92" s="2" t="n"/>
    </row>
    <row r="93" ht="42" customHeight="1">
      <c r="A93" s="2" t="inlineStr">
        <is>
          <t>P092</t>
        </is>
      </c>
      <c r="B93" s="2" t="n"/>
      <c r="C93" s="2" t="n"/>
      <c r="D93" s="2" t="n"/>
      <c r="E93" s="2" t="n"/>
      <c r="F93" s="2" t="n"/>
      <c r="G93" s="2">
        <f>IF(COUNT(C93:F93)=0,"",ROUND(AVERAGE(C93:F93),2))</f>
        <v/>
      </c>
      <c r="H93" s="2" t="n"/>
      <c r="I93" s="2" t="n"/>
    </row>
    <row r="94" ht="42" customHeight="1">
      <c r="A94" s="2" t="inlineStr">
        <is>
          <t>P093</t>
        </is>
      </c>
      <c r="B94" s="2" t="n"/>
      <c r="C94" s="2" t="n"/>
      <c r="D94" s="2" t="n"/>
      <c r="E94" s="2" t="n"/>
      <c r="F94" s="2" t="n"/>
      <c r="G94" s="2">
        <f>IF(COUNT(C94:F94)=0,"",ROUND(AVERAGE(C94:F94),2))</f>
        <v/>
      </c>
      <c r="H94" s="2" t="n"/>
      <c r="I94" s="2" t="n"/>
    </row>
    <row r="95" ht="42" customHeight="1">
      <c r="A95" s="2" t="inlineStr">
        <is>
          <t>P094</t>
        </is>
      </c>
      <c r="B95" s="2" t="n"/>
      <c r="C95" s="2" t="n"/>
      <c r="D95" s="2" t="n"/>
      <c r="E95" s="2" t="n"/>
      <c r="F95" s="2" t="n"/>
      <c r="G95" s="2">
        <f>IF(COUNT(C95:F95)=0,"",ROUND(AVERAGE(C95:F95),2))</f>
        <v/>
      </c>
      <c r="H95" s="2" t="n"/>
      <c r="I95" s="2" t="n"/>
    </row>
    <row r="96" ht="42" customHeight="1">
      <c r="A96" s="2" t="inlineStr">
        <is>
          <t>P095</t>
        </is>
      </c>
      <c r="B96" s="2" t="n"/>
      <c r="C96" s="2" t="n"/>
      <c r="D96" s="2" t="n"/>
      <c r="E96" s="2" t="n"/>
      <c r="F96" s="2" t="n"/>
      <c r="G96" s="2">
        <f>IF(COUNT(C96:F96)=0,"",ROUND(AVERAGE(C96:F96),2))</f>
        <v/>
      </c>
      <c r="H96" s="2" t="n"/>
      <c r="I96" s="2" t="n"/>
    </row>
    <row r="97" ht="42" customHeight="1">
      <c r="A97" s="2" t="inlineStr">
        <is>
          <t>P096</t>
        </is>
      </c>
      <c r="B97" s="2" t="n"/>
      <c r="C97" s="2" t="n"/>
      <c r="D97" s="2" t="n"/>
      <c r="E97" s="2" t="n"/>
      <c r="F97" s="2" t="n"/>
      <c r="G97" s="2">
        <f>IF(COUNT(C97:F97)=0,"",ROUND(AVERAGE(C97:F97),2))</f>
        <v/>
      </c>
      <c r="H97" s="2" t="n"/>
      <c r="I97" s="2" t="n"/>
    </row>
    <row r="98" ht="42" customHeight="1">
      <c r="A98" s="2" t="inlineStr">
        <is>
          <t>P097</t>
        </is>
      </c>
      <c r="B98" s="2" t="n"/>
      <c r="C98" s="2" t="n"/>
      <c r="D98" s="2" t="n"/>
      <c r="E98" s="2" t="n"/>
      <c r="F98" s="2" t="n"/>
      <c r="G98" s="2">
        <f>IF(COUNT(C98:F98)=0,"",ROUND(AVERAGE(C98:F98),2))</f>
        <v/>
      </c>
      <c r="H98" s="2" t="n"/>
      <c r="I98" s="2" t="n"/>
    </row>
    <row r="99" ht="42" customHeight="1">
      <c r="A99" s="2" t="inlineStr">
        <is>
          <t>P098</t>
        </is>
      </c>
      <c r="B99" s="2" t="n"/>
      <c r="C99" s="2" t="n"/>
      <c r="D99" s="2" t="n"/>
      <c r="E99" s="2" t="n"/>
      <c r="F99" s="2" t="n"/>
      <c r="G99" s="2">
        <f>IF(COUNT(C99:F99)=0,"",ROUND(AVERAGE(C99:F99),2))</f>
        <v/>
      </c>
      <c r="H99" s="2" t="n"/>
      <c r="I99" s="2" t="n"/>
    </row>
    <row r="100" ht="42" customHeight="1">
      <c r="A100" s="2" t="inlineStr">
        <is>
          <t>P099</t>
        </is>
      </c>
      <c r="B100" s="2" t="n"/>
      <c r="C100" s="2" t="n"/>
      <c r="D100" s="2" t="n"/>
      <c r="E100" s="2" t="n"/>
      <c r="F100" s="2" t="n"/>
      <c r="G100" s="2">
        <f>IF(COUNT(C100:F100)=0,"",ROUND(AVERAGE(C100:F100),2))</f>
        <v/>
      </c>
      <c r="H100" s="2" t="n"/>
      <c r="I100" s="2" t="n"/>
    </row>
    <row r="101" ht="42" customHeight="1">
      <c r="A101" s="2" t="inlineStr">
        <is>
          <t>P100</t>
        </is>
      </c>
      <c r="B101" s="2" t="n"/>
      <c r="C101" s="2" t="n"/>
      <c r="D101" s="2" t="n"/>
      <c r="E101" s="2" t="n"/>
      <c r="F101" s="2" t="n"/>
      <c r="G101" s="2">
        <f>IF(COUNT(C101:F101)=0,"",ROUND(AVERAGE(C101:F101),2))</f>
        <v/>
      </c>
      <c r="H101" s="2" t="n"/>
      <c r="I101" s="2" t="n"/>
    </row>
  </sheetData>
  <conditionalFormatting sqref="C2:F101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G2:G101">
    <cfRule type="colorScale" priority="2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B2:B101">
    <cfRule type="expression" priority="3" dxfId="0">
      <formula>B2="Correct"</formula>
    </cfRule>
    <cfRule type="expression" priority="4" dxfId="1">
      <formula>B2="Incorrect"</formula>
    </cfRule>
  </conditionalFormatting>
  <dataValidations count="5">
    <dataValidation sqref="B2:B101" showDropDown="0" showInputMessage="1" showErrorMessage="1" allowBlank="1" errorTitle="Invalid Selection" error="Please select Correct or Incorrect." promptTitle="Prediction Assessment" prompt="Select the model prediction assessment." type="list">
      <formula1>"Correct,Incorrect"</formula1>
    </dataValidation>
    <dataValidation sqref="C2:C101" showDropDown="0" showInputMessage="1" showErrorMessage="1" allowBlank="1" errorTitle="Invalid Rating" error="Please select a rating from 1 to 5." promptTitle="Evaluation Rating" prompt="Select a rating from 1 to 5." type="list">
      <formula1>"1,2,3,4,5"</formula1>
    </dataValidation>
    <dataValidation sqref="D2:D101" showDropDown="0" showInputMessage="1" showErrorMessage="1" allowBlank="1" errorTitle="Invalid Rating" error="Please select a rating from 1 to 5." promptTitle="Evaluation Rating" prompt="Select a rating from 1 to 5." type="list">
      <formula1>"1,2,3,4,5"</formula1>
    </dataValidation>
    <dataValidation sqref="E2:E101" showDropDown="0" showInputMessage="1" showErrorMessage="1" allowBlank="1" errorTitle="Invalid Rating" error="Please select a rating from 1 to 5." promptTitle="Evaluation Rating" prompt="Select a rating from 1 to 5." type="list">
      <formula1>"1,2,3,4,5"</formula1>
    </dataValidation>
    <dataValidation sqref="F2:F101" showDropDown="0" showInputMessage="1" showErrorMessage="1" allowBlank="1" errorTitle="Invalid Rating" error="Please select a rating from 1 to 5." promptTitle="Evaluation Rating" prompt="Select a rating from 1 to 5." type="list">
      <formula1>"1,2,3,4,5"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4" customWidth="1" min="3" max="3"/>
    <col width="30" customWidth="1" min="4" max="4"/>
    <col width="20" customWidth="1" min="5" max="5"/>
  </cols>
  <sheetData>
    <row r="1">
      <c r="A1" s="3" t="inlineStr">
        <is>
          <t>Human Evaluation Summary Dashboard</t>
        </is>
      </c>
    </row>
    <row r="3">
      <c r="A3" s="4" t="inlineStr">
        <is>
          <t>Measure</t>
        </is>
      </c>
      <c r="B3" s="4" t="inlineStr">
        <is>
          <t>Value</t>
        </is>
      </c>
      <c r="D3" s="4" t="inlineStr">
        <is>
          <t>Evaluation Factor</t>
        </is>
      </c>
      <c r="E3" s="4" t="inlineStr">
        <is>
          <t>Average Rating</t>
        </is>
      </c>
    </row>
    <row r="4">
      <c r="A4" s="5" t="inlineStr">
        <is>
          <t>Total Participants</t>
        </is>
      </c>
      <c r="B4" s="6">
        <f>COUNTA('Human Evaluation'!A2:A101)</f>
        <v/>
      </c>
      <c r="D4" t="inlineStr">
        <is>
          <t>Prediction Accuracy</t>
        </is>
      </c>
      <c r="E4">
        <f>IFERROR(AVERAGE('Human Evaluation'!C2:C101),"")</f>
        <v/>
      </c>
    </row>
    <row r="5">
      <c r="A5" s="5" t="inlineStr">
        <is>
          <t>Completed Evaluations</t>
        </is>
      </c>
      <c r="B5" s="6">
        <f>COUNT('Human Evaluation'!G2:G101)</f>
        <v/>
      </c>
      <c r="D5" t="inlineStr">
        <is>
          <t>Ease of Use</t>
        </is>
      </c>
      <c r="E5">
        <f>IFERROR(AVERAGE('Human Evaluation'!D2:D101),"")</f>
        <v/>
      </c>
    </row>
    <row r="6">
      <c r="A6" s="5" t="inlineStr">
        <is>
          <t>Prediction Correct</t>
        </is>
      </c>
      <c r="B6" s="6">
        <f>COUNTIF('Human Evaluation'!B2:B101,"Correct")</f>
        <v/>
      </c>
      <c r="D6" t="inlineStr">
        <is>
          <t>Clarity of Result</t>
        </is>
      </c>
      <c r="E6">
        <f>IFERROR(AVERAGE('Human Evaluation'!E2:E101),"")</f>
        <v/>
      </c>
    </row>
    <row r="7">
      <c r="A7" s="5" t="inlineStr">
        <is>
          <t>Prediction Incorrect</t>
        </is>
      </c>
      <c r="B7" s="6">
        <f>COUNTIF('Human Evaluation'!B2:B101,"Incorrect")</f>
        <v/>
      </c>
      <c r="D7" t="inlineStr">
        <is>
          <t>Confidence in Result</t>
        </is>
      </c>
      <c r="E7">
        <f>IFERROR(AVERAGE('Human Evaluation'!F2:F101),"")</f>
        <v/>
      </c>
    </row>
    <row r="8">
      <c r="A8" s="5" t="inlineStr">
        <is>
          <t>Average Prediction Accuracy</t>
        </is>
      </c>
      <c r="B8" s="6">
        <f>IFERROR(AVERAGE('Human Evaluation'!C2:C101),"")</f>
        <v/>
      </c>
    </row>
    <row r="9">
      <c r="A9" s="5" t="inlineStr">
        <is>
          <t>Average Ease of Use</t>
        </is>
      </c>
      <c r="B9" s="6">
        <f>IFERROR(AVERAGE('Human Evaluation'!D2:D101),"")</f>
        <v/>
      </c>
    </row>
    <row r="10">
      <c r="A10" s="5" t="inlineStr">
        <is>
          <t>Average Clarity of Result</t>
        </is>
      </c>
      <c r="B10" s="6">
        <f>IFERROR(AVERAGE('Human Evaluation'!E2:E101),"")</f>
        <v/>
      </c>
    </row>
    <row r="11">
      <c r="A11" s="5" t="inlineStr">
        <is>
          <t>Average Confidence in Result</t>
        </is>
      </c>
      <c r="B11" s="6">
        <f>IFERROR(AVERAGE('Human Evaluation'!F2:F101),"")</f>
        <v/>
      </c>
    </row>
    <row r="12">
      <c r="A12" s="5" t="inlineStr">
        <is>
          <t>Overall Average Rating</t>
        </is>
      </c>
      <c r="B12" s="6">
        <f>IFERROR(AVERAGE('Human Evaluation'!G2:G101),"")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Human Evaluation Workbook</t>
        </is>
      </c>
    </row>
    <row r="3">
      <c r="A3" s="8" t="inlineStr">
        <is>
          <t>How to use this workbook</t>
        </is>
      </c>
    </row>
    <row r="4">
      <c r="A4" s="9" t="inlineStr">
        <is>
          <t>1. Open the 'Human Evaluation' sheet.</t>
        </is>
      </c>
    </row>
    <row r="5">
      <c r="A5" s="9" t="inlineStr">
        <is>
          <t>2. Select Correct or Incorrect from the Prediction Assessment dropdown.</t>
        </is>
      </c>
    </row>
    <row r="6">
      <c r="A6" s="9" t="inlineStr">
        <is>
          <t>3. Select a rating from 1 to 5 for each of the four evaluation factors.</t>
        </is>
      </c>
    </row>
    <row r="7">
      <c r="A7" s="9" t="inlineStr">
        <is>
          <t>4. Enter Open Comments if required.</t>
        </is>
      </c>
    </row>
    <row r="8">
      <c r="A8" s="9" t="inlineStr">
        <is>
          <t>5. Enter Overall Feedback.</t>
        </is>
      </c>
    </row>
    <row r="9">
      <c r="A9" s="9" t="inlineStr">
        <is>
          <t>6. Average Rating is calculated automatically.</t>
        </is>
      </c>
    </row>
    <row r="10">
      <c r="A10" s="9" t="inlineStr">
        <is>
          <t>7. Use the filter arrows in the table header to sort or filter participants.</t>
        </is>
      </c>
    </row>
    <row r="11">
      <c r="A11" s="9" t="inlineStr">
        <is>
          <t>8. Open 'Summary Dashboard' to view automatically calculated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2026-08-16T03:05:50Z</dcterms:created>
  <dcterms:modified xmlns:dcterms="http://purl.org/dc/terms/" xmlns:xsi="http://www.w3.org/2001/XMLSchema-instance" xsi:type="dcterms:W3CDTF">2026-08-16T03:05:50Z</dcterms:modified>
</cp:coreProperties>
</file>